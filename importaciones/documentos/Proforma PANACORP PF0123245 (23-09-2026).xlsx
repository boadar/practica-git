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upoofica-my.sharepoint.com/personal/rboada_ofica_com/Documents/Claude/ControlImportaciones/documentos/"/>
    </mc:Choice>
  </mc:AlternateContent>
  <xr:revisionPtr revIDLastSave="1" documentId="11_A798AB51CCCE85E22FF4840BB10FC410B9FB67E0" xr6:coauthVersionLast="47" xr6:coauthVersionMax="47" xr10:uidLastSave="{AA1700FC-9434-4E63-97A1-0402DAC50F43}"/>
  <bookViews>
    <workbookView xWindow="-120" yWindow="-120" windowWidth="29040" windowHeight="15720" xr2:uid="{00000000-000D-0000-FFFF-FFFF00000000}"/>
  </bookViews>
  <sheets>
    <sheet name="Proforma" sheetId="1" r:id="rId1"/>
    <sheet name="Aranceles" sheetId="2" r:id="rId2"/>
    <sheet name="Sin código OFICA" sheetId="3" r:id="rId3"/>
  </sheets>
  <definedNames>
    <definedName name="_xlnm._FilterDatabase" localSheetId="0" hidden="1">Proforma!$A$10:$M$70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1" l="1"/>
  <c r="I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71" i="1" s="1"/>
</calcChain>
</file>

<file path=xl/sharedStrings.xml><?xml version="1.0" encoding="utf-8"?>
<sst xmlns="http://schemas.openxmlformats.org/spreadsheetml/2006/main" count="530" uniqueCount="326">
  <si>
    <t>FACTURA PROFORMA  PF0123245</t>
  </si>
  <si>
    <t>Proveedor</t>
  </si>
  <si>
    <t>COMERCIALIZADORA PANACORP INC</t>
  </si>
  <si>
    <t>Cliente</t>
  </si>
  <si>
    <t>OFICA REPRESENTACIONES S.A.  (RIF J 000445010)</t>
  </si>
  <si>
    <t>Fecha</t>
  </si>
  <si>
    <t>23/09/2026</t>
  </si>
  <si>
    <t>Incoterm</t>
  </si>
  <si>
    <t>FOB</t>
  </si>
  <si>
    <t>Condición</t>
  </si>
  <si>
    <t>90 días Crédito B/L</t>
  </si>
  <si>
    <t>Despacho</t>
  </si>
  <si>
    <t>1ra Sem. Octubre</t>
  </si>
  <si>
    <t>Moneda</t>
  </si>
  <si>
    <t>USD</t>
  </si>
  <si>
    <t>N°</t>
  </si>
  <si>
    <t>Código proveedor</t>
  </si>
  <si>
    <t>Código OFICA</t>
  </si>
  <si>
    <t>Cómo se cruzó</t>
  </si>
  <si>
    <t>EAN</t>
  </si>
  <si>
    <t>Descripción (proforma)</t>
  </si>
  <si>
    <t>Descripción OFICA</t>
  </si>
  <si>
    <t>Unidad</t>
  </si>
  <si>
    <t>Cantidad</t>
  </si>
  <si>
    <t>Cajas / Paq.</t>
  </si>
  <si>
    <t>Precio $</t>
  </si>
  <si>
    <t>Total $</t>
  </si>
  <si>
    <t>Código arancelario</t>
  </si>
  <si>
    <t>2369</t>
  </si>
  <si>
    <t>ALH-2369</t>
  </si>
  <si>
    <t>número del código + descripción</t>
  </si>
  <si>
    <t>7591127021643</t>
  </si>
  <si>
    <t>Resmilla Hojas Colores Pasteles Surtido Carta - 100H</t>
  </si>
  <si>
    <t>Resmilla</t>
  </si>
  <si>
    <t>4802.54.39.00</t>
  </si>
  <si>
    <t>ALH4441</t>
  </si>
  <si>
    <t>ALH-4441</t>
  </si>
  <si>
    <t>código</t>
  </si>
  <si>
    <t>0657381844411</t>
  </si>
  <si>
    <t>Mampara Escolar Pequeña 21x37"</t>
  </si>
  <si>
    <t>Mampara Pequeña 21x37" (53x94 cm)</t>
  </si>
  <si>
    <t>4819.10.00.99</t>
  </si>
  <si>
    <t>ALH4442</t>
  </si>
  <si>
    <t>ALH-4442</t>
  </si>
  <si>
    <t>0657381844428</t>
  </si>
  <si>
    <t>Mampara Escolar Mediana 28x39"</t>
  </si>
  <si>
    <t>Mampara Mediana 28x39" (71x99 cm)</t>
  </si>
  <si>
    <t>ALH4443</t>
  </si>
  <si>
    <t>ALH-4443</t>
  </si>
  <si>
    <t>0657381844435</t>
  </si>
  <si>
    <t>Mampara Escolar Grande 36x39"</t>
  </si>
  <si>
    <t>Mampara Grande 36x39" (91x99 cm)</t>
  </si>
  <si>
    <t>ALH44565</t>
  </si>
  <si>
    <t>ALH-44565</t>
  </si>
  <si>
    <t>0657381844565</t>
  </si>
  <si>
    <t>ALHER - Libro Colorea Minecraft Vol 2</t>
  </si>
  <si>
    <t>ALHER - Libro Colorea Minecraft Vol. 2 - E -</t>
  </si>
  <si>
    <t>4903.00.00.00</t>
  </si>
  <si>
    <t>ALH44572</t>
  </si>
  <si>
    <t>ALH-44572</t>
  </si>
  <si>
    <t>0657381844572</t>
  </si>
  <si>
    <t>ALHER - Libro Colorea Minecraft Vol 1</t>
  </si>
  <si>
    <t>ALHER - Libro Colorea Minecraft Vol. 1 - E -</t>
  </si>
  <si>
    <t>ALH76039</t>
  </si>
  <si>
    <t>ALH-76039</t>
  </si>
  <si>
    <t>0652569760392</t>
  </si>
  <si>
    <t>Papel Bond Carta 100H Color - AZUL OSCURO</t>
  </si>
  <si>
    <t>ALH76040</t>
  </si>
  <si>
    <t>ALH-76040</t>
  </si>
  <si>
    <t>0652569760408</t>
  </si>
  <si>
    <t>Papel Bond Carta 100H Color - AZUL</t>
  </si>
  <si>
    <t>ALH76041</t>
  </si>
  <si>
    <t>ALH-76041</t>
  </si>
  <si>
    <t>0652569760415</t>
  </si>
  <si>
    <t>Papel Bond Carta 100H Color - CELESTE</t>
  </si>
  <si>
    <t>ALH76042</t>
  </si>
  <si>
    <t>ALH-76042</t>
  </si>
  <si>
    <t>0652569760422</t>
  </si>
  <si>
    <t>Papel Bond Carta 100H Color - AMARILLO</t>
  </si>
  <si>
    <t>ALH76043</t>
  </si>
  <si>
    <t>ALH-76043</t>
  </si>
  <si>
    <t>0652569760439</t>
  </si>
  <si>
    <t>Papel Bond Carta 100H Color - AMARILLO ORO</t>
  </si>
  <si>
    <t>ALH76044</t>
  </si>
  <si>
    <t>ALH-76044</t>
  </si>
  <si>
    <t>0652569760446</t>
  </si>
  <si>
    <t>Papel Bond Carta 100H Color - ROJO VINO</t>
  </si>
  <si>
    <t>ALH76045</t>
  </si>
  <si>
    <t>ALH-76045</t>
  </si>
  <si>
    <t>0652569760453</t>
  </si>
  <si>
    <t>Papel Bond Carta 100H Color - ROJO</t>
  </si>
  <si>
    <t>ALH76046</t>
  </si>
  <si>
    <t>ALH-76046</t>
  </si>
  <si>
    <t>0652569760460</t>
  </si>
  <si>
    <t>Papel Bond Carta 100H Color - VERDE</t>
  </si>
  <si>
    <t>ALH76047</t>
  </si>
  <si>
    <t>ALH-76047</t>
  </si>
  <si>
    <t>0652569760477</t>
  </si>
  <si>
    <t>Papel Bond Carta 100H Color - VERDE OSCURO</t>
  </si>
  <si>
    <t>ALH76048</t>
  </si>
  <si>
    <t>ALH-76048</t>
  </si>
  <si>
    <t>0652569760484</t>
  </si>
  <si>
    <t>Papel Bond Carta 100H Color - NEGRO</t>
  </si>
  <si>
    <t>ALH76049</t>
  </si>
  <si>
    <t>ALH-76049</t>
  </si>
  <si>
    <t>0652569760491</t>
  </si>
  <si>
    <t>Papel Bond Carta 100H Color - ROSA</t>
  </si>
  <si>
    <t>ALH76050</t>
  </si>
  <si>
    <t>ALH-76050</t>
  </si>
  <si>
    <t>0652569760507</t>
  </si>
  <si>
    <t>Papel Bond Carta 100H Color - FUCSIA</t>
  </si>
  <si>
    <t>ALH76052</t>
  </si>
  <si>
    <t>ALH-76052</t>
  </si>
  <si>
    <t>0652569760521</t>
  </si>
  <si>
    <t>Papel Bond Carta 100H Color - CHOCOLATE</t>
  </si>
  <si>
    <t>ALH76053</t>
  </si>
  <si>
    <t>ALH-76053</t>
  </si>
  <si>
    <t>0652569760538</t>
  </si>
  <si>
    <t>Papel Bond Carta 100H Color - NARANJA</t>
  </si>
  <si>
    <t>ALH76054</t>
  </si>
  <si>
    <t>ALH-76054</t>
  </si>
  <si>
    <t>0652569760545</t>
  </si>
  <si>
    <t>Papel Bond Carta 100H Color - GRIS</t>
  </si>
  <si>
    <t>ALH76055</t>
  </si>
  <si>
    <t>ALH-76055</t>
  </si>
  <si>
    <t>0652569760552</t>
  </si>
  <si>
    <t>Papel Bond Carta 100H Color - MORADO</t>
  </si>
  <si>
    <t>1037</t>
  </si>
  <si>
    <t>ALH-1037</t>
  </si>
  <si>
    <t>indicado por Ronald (13/10/2026)</t>
  </si>
  <si>
    <t>759598226643</t>
  </si>
  <si>
    <t>Papel Bond Carta 100H Color - AZUL CELESTIAL</t>
  </si>
  <si>
    <t>861</t>
  </si>
  <si>
    <t>ALH-861</t>
  </si>
  <si>
    <t>7591147021650</t>
  </si>
  <si>
    <t>Resmilla Hojas Fluorescentes Sutidas Carta - 100H</t>
  </si>
  <si>
    <t>862</t>
  </si>
  <si>
    <t>ALH-862</t>
  </si>
  <si>
    <t>7591147021957</t>
  </si>
  <si>
    <t>Resmilla Cartulina Fluorescente Surtida Carta -25H</t>
  </si>
  <si>
    <t>4802.58.99.90</t>
  </si>
  <si>
    <t>2003</t>
  </si>
  <si>
    <t>IRA-2003</t>
  </si>
  <si>
    <t>7416501901457</t>
  </si>
  <si>
    <t>Carpeta MANILA color ROJO tamaño CARTA paquete 50 und.</t>
  </si>
  <si>
    <t>C-Paquete de Carpeta Manila Carta Rojo x 50 und</t>
  </si>
  <si>
    <t>Paquete</t>
  </si>
  <si>
    <t>4820.30.39.00</t>
  </si>
  <si>
    <t>2004</t>
  </si>
  <si>
    <t>IRA-2004</t>
  </si>
  <si>
    <t>7416501901464</t>
  </si>
  <si>
    <t>Carpeta MANILA color AZUL tamaño CARTA paquete 50 und.</t>
  </si>
  <si>
    <t>D-Paquete de Carpeta Manila Carta Azul x 50 und</t>
  </si>
  <si>
    <t>2006</t>
  </si>
  <si>
    <t>IRA-2006</t>
  </si>
  <si>
    <t>7416501901488</t>
  </si>
  <si>
    <t>Carpeta MANILA color ROSA tamaño CARTA paquete 50 und.</t>
  </si>
  <si>
    <t>F-Paquete de Carpeta Manila Carta Rosa x 50 und</t>
  </si>
  <si>
    <t>2007</t>
  </si>
  <si>
    <t>IRA-2007</t>
  </si>
  <si>
    <t>7416501901907</t>
  </si>
  <si>
    <t>Carpeta MANILA color AQUA tamaño CARTA paquete 50 und.</t>
  </si>
  <si>
    <t>G-Paquete de Carpeta Manila Carta Aqua x 50 und</t>
  </si>
  <si>
    <t>2008</t>
  </si>
  <si>
    <t>IRA-2008</t>
  </si>
  <si>
    <t>7416501901921</t>
  </si>
  <si>
    <t>Carpeta MANILA color GRIS tamaño CARTA paquete 50 und.</t>
  </si>
  <si>
    <t>H-Paquete de Carpeta Manila Carta Gris x 50 und</t>
  </si>
  <si>
    <t>2009</t>
  </si>
  <si>
    <t>IRA-2009</t>
  </si>
  <si>
    <t>7416501901495</t>
  </si>
  <si>
    <t>Carpeta MANILA color VIOLETA tamaño CARTA paquete 50 und.</t>
  </si>
  <si>
    <t>I-Paquete de Carpeta Manila Carta Violeta x 50 und</t>
  </si>
  <si>
    <t>2010</t>
  </si>
  <si>
    <t>IRA-2010</t>
  </si>
  <si>
    <t>7416501901501</t>
  </si>
  <si>
    <t>Carpeta MANILA color NEGRO tamaño CARTA paquete 50 und.</t>
  </si>
  <si>
    <t>J-Paquete de Carpeta Manila Carta Negro x 50 und</t>
  </si>
  <si>
    <t>2011</t>
  </si>
  <si>
    <t>IRA-2011</t>
  </si>
  <si>
    <t>7416501901502</t>
  </si>
  <si>
    <t>Carpeta MANILA color AZUL MARINO tamaño CARTA paquete 50 und.</t>
  </si>
  <si>
    <t>K-Paquete de Carpeta Manila Carta Azul Marino x 50 und</t>
  </si>
  <si>
    <t>2017</t>
  </si>
  <si>
    <t>IRA-2017</t>
  </si>
  <si>
    <t>7416501901983</t>
  </si>
  <si>
    <t>Carpeta MANILA color LILA tamaño CARTA paquete 50 und.</t>
  </si>
  <si>
    <t>M-Paquete de Carpeta Manila Carta Lila x 50 und</t>
  </si>
  <si>
    <t>2018</t>
  </si>
  <si>
    <t>IRA-2018</t>
  </si>
  <si>
    <t>7416501901518</t>
  </si>
  <si>
    <t>Carpeta MANILA color CELESTE tamaño CARTA paquete 50 und.</t>
  </si>
  <si>
    <t>N-Paquete de Carpeta Manila Carta Celeste x 50 und</t>
  </si>
  <si>
    <t>2022</t>
  </si>
  <si>
    <t>IRA-2022</t>
  </si>
  <si>
    <t>7416501902003</t>
  </si>
  <si>
    <t>Carpeta MANILA color VERDE LIMON tamaño CARTA paq. 50 und.</t>
  </si>
  <si>
    <t>P-Paquete de Carpeta Manila Carta Verde Limón x 50 und</t>
  </si>
  <si>
    <t>2001</t>
  </si>
  <si>
    <t>IRA-2001</t>
  </si>
  <si>
    <t>Carpeta MANILA color NARANJA tamaño CARTA paquete 50 und.</t>
  </si>
  <si>
    <t>A-Paquete de Carpeta Manila Carta Naranja x 50 und</t>
  </si>
  <si>
    <t>2002</t>
  </si>
  <si>
    <t>IRA-2002</t>
  </si>
  <si>
    <t>Carpeta MANILA color AMARILLO tamaño CARTA paquete 50 und.</t>
  </si>
  <si>
    <t>B-Paquete de Carpeta Manila Carta Amarillo x 50 und</t>
  </si>
  <si>
    <t>2005</t>
  </si>
  <si>
    <t>IRA-2005</t>
  </si>
  <si>
    <t>Carpeta MANILA color VERDE tamaño CARTA paquete 50 und.</t>
  </si>
  <si>
    <t>E-Paquete de Carpeta Manila Carta Verde x 50 und</t>
  </si>
  <si>
    <t>2015</t>
  </si>
  <si>
    <t>IRA-2015</t>
  </si>
  <si>
    <t>Carpeta MANILA color CAFE tamaño CARTA paquete 50 und.</t>
  </si>
  <si>
    <t>L-Paquete de Carpeta Manila Carta Café x 50 und</t>
  </si>
  <si>
    <t>2020</t>
  </si>
  <si>
    <t>IRA-2020</t>
  </si>
  <si>
    <t>Carpeta MANILA color FUCSIA tamaño CARTA paquete 50 und.</t>
  </si>
  <si>
    <t>O-Paquete de Carpeta Manila Carta Fucsia x 50 und</t>
  </si>
  <si>
    <t>RK100X80</t>
  </si>
  <si>
    <t>SPK002</t>
  </si>
  <si>
    <t>descripción: Rollo Papel Kraft 80g 36" x 100 yd</t>
  </si>
  <si>
    <t>Rollo papel Kraft 80GR - 36" x 100 Yardas</t>
  </si>
  <si>
    <t>Rollo Papel Kraft 80g - 36" x 100 Yardas</t>
  </si>
  <si>
    <t>Rollo</t>
  </si>
  <si>
    <t>4804.39.90.00</t>
  </si>
  <si>
    <t>ALH2063</t>
  </si>
  <si>
    <t>ALH-2063</t>
  </si>
  <si>
    <t>0657381843916</t>
  </si>
  <si>
    <t>Papel Adhesivo Fotográfico MATE 20H - CARTA</t>
  </si>
  <si>
    <t>4811.41.90.00</t>
  </si>
  <si>
    <t>ALH2064</t>
  </si>
  <si>
    <t>ALH-2064</t>
  </si>
  <si>
    <t>0657381843923</t>
  </si>
  <si>
    <t>Papel Adhesivo Fotográfico BRILLANTE 20H - CARTA</t>
  </si>
  <si>
    <t>2349</t>
  </si>
  <si>
    <t>ALH-2349</t>
  </si>
  <si>
    <t>0700721795703</t>
  </si>
  <si>
    <t>Cartulina colores pasteles surtidos CARTA - 24H</t>
  </si>
  <si>
    <t>Resmilla Cartulina Colores Pasteles Surtidos Carta - 25H</t>
  </si>
  <si>
    <t>2350</t>
  </si>
  <si>
    <t>ALH-2350</t>
  </si>
  <si>
    <t>0700721795710</t>
  </si>
  <si>
    <t>Cartulina colores solidos surtidos CARTA - 24H</t>
  </si>
  <si>
    <t>Resmilla Cartulina Colores Solidos Surtidos Carta - 25H</t>
  </si>
  <si>
    <t>ALH3738</t>
  </si>
  <si>
    <t>ALH-3738</t>
  </si>
  <si>
    <t>0649226737385</t>
  </si>
  <si>
    <t>Papel Fotográfico Brillante Carta - 10 hojas - Bulto x 120</t>
  </si>
  <si>
    <t>ALH3739</t>
  </si>
  <si>
    <t>ALH-3739</t>
  </si>
  <si>
    <t>0649226737392</t>
  </si>
  <si>
    <t>Papel Fotográfico Brillante carta - 20 hojas - Bulto x 60</t>
  </si>
  <si>
    <t>ALH3740</t>
  </si>
  <si>
    <t>ALH-3740</t>
  </si>
  <si>
    <t>0649226737408</t>
  </si>
  <si>
    <t>Papel Fotográfico Brillante carta - 50 hojas - Bulto x 24</t>
  </si>
  <si>
    <t>1340</t>
  </si>
  <si>
    <t>SPA1340</t>
  </si>
  <si>
    <t>7451101030640</t>
  </si>
  <si>
    <t>Papel Acuarela 24H - CARTA</t>
  </si>
  <si>
    <t>ALH4435</t>
  </si>
  <si>
    <t>ALH-4435</t>
  </si>
  <si>
    <t>0657381844350</t>
  </si>
  <si>
    <t>Block Papel Acuarela 250Gr 10H - CARTA</t>
  </si>
  <si>
    <t>Block Papel Acuarela Carta - 10H - E -</t>
  </si>
  <si>
    <t>Block</t>
  </si>
  <si>
    <t>SOL-3785</t>
  </si>
  <si>
    <t>TEMPORAL: código del proveedor (indicado por Ronald 13/10/2026)</t>
  </si>
  <si>
    <t>0649226737859</t>
  </si>
  <si>
    <t>SOLITA - Rollo papel Colores 1x3 yardas SURTIDO Display x 100U</t>
  </si>
  <si>
    <t>SOL-3786</t>
  </si>
  <si>
    <t>0649226737866</t>
  </si>
  <si>
    <t>SOLITA - Rollo papel Kraft 1x3 yardas Display x 100U</t>
  </si>
  <si>
    <t>ALH43667</t>
  </si>
  <si>
    <t>ALH-43667</t>
  </si>
  <si>
    <t>0657381843667</t>
  </si>
  <si>
    <t>ALHER - Sopa de Letras #01 (New Edition)</t>
  </si>
  <si>
    <t>ALHER - Sopa de Letras #01 - E -</t>
  </si>
  <si>
    <t>Libro</t>
  </si>
  <si>
    <t>4901.99.90.00</t>
  </si>
  <si>
    <t>ALH43674</t>
  </si>
  <si>
    <t>ALH-43674</t>
  </si>
  <si>
    <t>0657381843674</t>
  </si>
  <si>
    <t>ALHER - Sopa de Letras #02 (New Edition)</t>
  </si>
  <si>
    <t>ALHER - Sopa de Letras #02 - E -</t>
  </si>
  <si>
    <t>ALH43698</t>
  </si>
  <si>
    <t>ALH-43698</t>
  </si>
  <si>
    <t>0657381843698</t>
  </si>
  <si>
    <t>ALHER - Sopa de Letras #03</t>
  </si>
  <si>
    <t>ALHER - Sopa de Letras #03 - E -</t>
  </si>
  <si>
    <t>ALH43681</t>
  </si>
  <si>
    <t>ALH-43681</t>
  </si>
  <si>
    <t>0657381843681</t>
  </si>
  <si>
    <t>ALHER - Sopas Mix #04</t>
  </si>
  <si>
    <t>ALHER - Sopa Mix #04 - E -</t>
  </si>
  <si>
    <t>ALH43704</t>
  </si>
  <si>
    <t>ALH-43704</t>
  </si>
  <si>
    <t>0657381843704</t>
  </si>
  <si>
    <t>ALHER - Sopas Mix #05 (New Edition)</t>
  </si>
  <si>
    <t>ALHER - Sopa Mix #05 - E -</t>
  </si>
  <si>
    <t>EXHFOLD</t>
  </si>
  <si>
    <t>SEX007</t>
  </si>
  <si>
    <t>0657381844152</t>
  </si>
  <si>
    <t>EXHIBIDOR METALICO DE CARPETAS</t>
  </si>
  <si>
    <t>Exhibidor Metálico de Carpetas</t>
  </si>
  <si>
    <t>9403.20.13.00</t>
  </si>
  <si>
    <t>EXHMAM</t>
  </si>
  <si>
    <t>EXH-MAM</t>
  </si>
  <si>
    <t>EXHIBIDOR CARTON MAMPARAS CARTÓN</t>
  </si>
  <si>
    <t>4823.69.90.00</t>
  </si>
  <si>
    <t>TOTAL</t>
  </si>
  <si>
    <t>Total impreso en la proforma: $48,055.00  ·  Cajas impresas: 1190</t>
  </si>
  <si>
    <t>Las filas en amarillo no tienen código OFICA: escríbalo en la columna C.</t>
  </si>
  <si>
    <t>Aplica a (según el pie de la proforma)</t>
  </si>
  <si>
    <t>Cartulinas Resmillas</t>
  </si>
  <si>
    <t>Carpetas colores</t>
  </si>
  <si>
    <t>Sopas de Letras</t>
  </si>
  <si>
    <t>Libros colorear</t>
  </si>
  <si>
    <t>Exhibidores Cartón</t>
  </si>
  <si>
    <t>Exhibidores metálicos</t>
  </si>
  <si>
    <t>Papel Adhesivo</t>
  </si>
  <si>
    <t>Mamparas Escolares</t>
  </si>
  <si>
    <t>Papel Kraft rollos</t>
  </si>
  <si>
    <t>Papeles Fotog./ Bond Col / Papel Acuarela / Papel Hilo</t>
  </si>
  <si>
    <t>Descripción</t>
  </si>
  <si>
    <t>Código OFICA (indicar)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</si>
</sst>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82828"/>
      </patternFill>
    </fill>
    <fill>
      <patternFill patternType="solid">
        <fgColor rgb="FF009DD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3" fontId="2" fillId="4" borderId="0" xfId="0" applyNumberFormat="1" applyFont="1" applyFill="1"/>
    <xf numFmtId="4" fontId="2" fillId="4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zoomScale="85" workbookViewId="0">
      <pane ySplit="10" topLeftCell="A44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3" width="14" customWidth="1"/>
    <col min="4" max="4" width="63" bestFit="1" customWidth="1"/>
    <col min="5" max="5" width="16" customWidth="1"/>
    <col min="6" max="6" width="58" customWidth="1"/>
    <col min="7" max="7" width="52" customWidth="1"/>
    <col min="8" max="9" width="10" customWidth="1"/>
    <col min="10" max="10" width="11" customWidth="1"/>
    <col min="11" max="11" width="10" customWidth="1"/>
    <col min="12" max="12" width="13" customWidth="1"/>
    <col min="13" max="13" width="17" customWidth="1"/>
  </cols>
  <sheetData>
    <row r="1" spans="1:13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1</v>
      </c>
      <c r="C2" t="s">
        <v>2</v>
      </c>
    </row>
    <row r="3" spans="1:13" x14ac:dyDescent="0.25">
      <c r="A3" s="3" t="s">
        <v>3</v>
      </c>
      <c r="C3" t="s">
        <v>4</v>
      </c>
    </row>
    <row r="4" spans="1:13" x14ac:dyDescent="0.25">
      <c r="A4" s="3" t="s">
        <v>5</v>
      </c>
      <c r="C4" t="s">
        <v>6</v>
      </c>
    </row>
    <row r="5" spans="1:13" x14ac:dyDescent="0.25">
      <c r="A5" s="3" t="s">
        <v>7</v>
      </c>
      <c r="C5" t="s">
        <v>8</v>
      </c>
    </row>
    <row r="6" spans="1:13" x14ac:dyDescent="0.25">
      <c r="A6" s="3" t="s">
        <v>9</v>
      </c>
      <c r="C6" t="s">
        <v>10</v>
      </c>
    </row>
    <row r="7" spans="1:13" x14ac:dyDescent="0.25">
      <c r="A7" s="3" t="s">
        <v>11</v>
      </c>
      <c r="C7" t="s">
        <v>12</v>
      </c>
    </row>
    <row r="8" spans="1:13" x14ac:dyDescent="0.25">
      <c r="A8" s="3" t="s">
        <v>13</v>
      </c>
      <c r="C8" t="s">
        <v>14</v>
      </c>
    </row>
    <row r="10" spans="1:13" ht="30" x14ac:dyDescent="0.25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</row>
    <row r="11" spans="1:13" x14ac:dyDescent="0.25">
      <c r="A11" s="5">
        <v>1</v>
      </c>
      <c r="B11" s="5" t="s">
        <v>28</v>
      </c>
      <c r="C11" s="5" t="s">
        <v>29</v>
      </c>
      <c r="D11" s="5" t="s">
        <v>30</v>
      </c>
      <c r="E11" s="6" t="s">
        <v>31</v>
      </c>
      <c r="F11" s="5" t="s">
        <v>32</v>
      </c>
      <c r="G11" s="5" t="s">
        <v>32</v>
      </c>
      <c r="H11" s="5" t="s">
        <v>33</v>
      </c>
      <c r="I11" s="7">
        <v>420</v>
      </c>
      <c r="J11" s="7">
        <v>14</v>
      </c>
      <c r="K11" s="8">
        <v>0.86</v>
      </c>
      <c r="L11" s="8">
        <f t="shared" ref="L11:L42" si="0">I11*K11</f>
        <v>361.2</v>
      </c>
      <c r="M11" s="5" t="s">
        <v>34</v>
      </c>
    </row>
    <row r="12" spans="1:13" x14ac:dyDescent="0.25">
      <c r="A12" s="5">
        <v>2</v>
      </c>
      <c r="B12" s="5" t="s">
        <v>35</v>
      </c>
      <c r="C12" s="5" t="s">
        <v>36</v>
      </c>
      <c r="D12" s="5" t="s">
        <v>37</v>
      </c>
      <c r="E12" s="6" t="s">
        <v>38</v>
      </c>
      <c r="F12" s="5" t="s">
        <v>39</v>
      </c>
      <c r="G12" s="5" t="s">
        <v>40</v>
      </c>
      <c r="H12" s="5" t="s">
        <v>22</v>
      </c>
      <c r="I12" s="7">
        <v>1800</v>
      </c>
      <c r="J12" s="7">
        <v>75</v>
      </c>
      <c r="K12" s="8">
        <v>0.99</v>
      </c>
      <c r="L12" s="8">
        <f t="shared" si="0"/>
        <v>1782</v>
      </c>
      <c r="M12" s="5" t="s">
        <v>41</v>
      </c>
    </row>
    <row r="13" spans="1:13" x14ac:dyDescent="0.25">
      <c r="A13" s="5">
        <v>3</v>
      </c>
      <c r="B13" s="5" t="s">
        <v>42</v>
      </c>
      <c r="C13" s="5" t="s">
        <v>43</v>
      </c>
      <c r="D13" s="5" t="s">
        <v>37</v>
      </c>
      <c r="E13" s="6" t="s">
        <v>44</v>
      </c>
      <c r="F13" s="5" t="s">
        <v>45</v>
      </c>
      <c r="G13" s="5" t="s">
        <v>46</v>
      </c>
      <c r="H13" s="5" t="s">
        <v>22</v>
      </c>
      <c r="I13" s="7">
        <v>1680</v>
      </c>
      <c r="J13" s="7">
        <v>70</v>
      </c>
      <c r="K13" s="8">
        <v>1.54</v>
      </c>
      <c r="L13" s="8">
        <f t="shared" si="0"/>
        <v>2587.2000000000003</v>
      </c>
      <c r="M13" s="5" t="s">
        <v>41</v>
      </c>
    </row>
    <row r="14" spans="1:13" x14ac:dyDescent="0.25">
      <c r="A14" s="5">
        <v>4</v>
      </c>
      <c r="B14" s="5" t="s">
        <v>47</v>
      </c>
      <c r="C14" s="5" t="s">
        <v>48</v>
      </c>
      <c r="D14" s="5" t="s">
        <v>37</v>
      </c>
      <c r="E14" s="6" t="s">
        <v>49</v>
      </c>
      <c r="F14" s="5" t="s">
        <v>50</v>
      </c>
      <c r="G14" s="5" t="s">
        <v>51</v>
      </c>
      <c r="H14" s="5" t="s">
        <v>22</v>
      </c>
      <c r="I14" s="7">
        <v>1200</v>
      </c>
      <c r="J14" s="7">
        <v>50</v>
      </c>
      <c r="K14" s="8">
        <v>2.08</v>
      </c>
      <c r="L14" s="8">
        <f t="shared" si="0"/>
        <v>2496</v>
      </c>
      <c r="M14" s="5" t="s">
        <v>41</v>
      </c>
    </row>
    <row r="15" spans="1:13" x14ac:dyDescent="0.25">
      <c r="A15" s="5">
        <v>5</v>
      </c>
      <c r="B15" s="5" t="s">
        <v>52</v>
      </c>
      <c r="C15" s="5" t="s">
        <v>53</v>
      </c>
      <c r="D15" s="5" t="s">
        <v>37</v>
      </c>
      <c r="E15" s="6" t="s">
        <v>54</v>
      </c>
      <c r="F15" s="5" t="s">
        <v>55</v>
      </c>
      <c r="G15" s="5" t="s">
        <v>56</v>
      </c>
      <c r="H15" s="5" t="s">
        <v>22</v>
      </c>
      <c r="I15" s="7">
        <v>800</v>
      </c>
      <c r="J15" s="7">
        <v>4</v>
      </c>
      <c r="K15" s="8">
        <v>0.5</v>
      </c>
      <c r="L15" s="8">
        <f t="shared" si="0"/>
        <v>400</v>
      </c>
      <c r="M15" s="5" t="s">
        <v>57</v>
      </c>
    </row>
    <row r="16" spans="1:13" x14ac:dyDescent="0.25">
      <c r="A16" s="5">
        <v>6</v>
      </c>
      <c r="B16" s="5" t="s">
        <v>58</v>
      </c>
      <c r="C16" s="5" t="s">
        <v>59</v>
      </c>
      <c r="D16" s="5" t="s">
        <v>37</v>
      </c>
      <c r="E16" s="6" t="s">
        <v>60</v>
      </c>
      <c r="F16" s="5" t="s">
        <v>61</v>
      </c>
      <c r="G16" s="5" t="s">
        <v>62</v>
      </c>
      <c r="H16" s="5" t="s">
        <v>22</v>
      </c>
      <c r="I16" s="7">
        <v>800</v>
      </c>
      <c r="J16" s="7">
        <v>4</v>
      </c>
      <c r="K16" s="8">
        <v>0.5</v>
      </c>
      <c r="L16" s="8">
        <f t="shared" si="0"/>
        <v>400</v>
      </c>
      <c r="M16" s="5" t="s">
        <v>57</v>
      </c>
    </row>
    <row r="17" spans="1:13" x14ac:dyDescent="0.25">
      <c r="A17" s="5">
        <v>7</v>
      </c>
      <c r="B17" s="5" t="s">
        <v>63</v>
      </c>
      <c r="C17" s="5" t="s">
        <v>64</v>
      </c>
      <c r="D17" s="5" t="s">
        <v>37</v>
      </c>
      <c r="E17" s="6" t="s">
        <v>65</v>
      </c>
      <c r="F17" s="5" t="s">
        <v>66</v>
      </c>
      <c r="G17" s="5" t="s">
        <v>66</v>
      </c>
      <c r="H17" s="5" t="s">
        <v>33</v>
      </c>
      <c r="I17" s="7">
        <v>300</v>
      </c>
      <c r="J17" s="7">
        <v>10</v>
      </c>
      <c r="K17" s="8">
        <v>0.82</v>
      </c>
      <c r="L17" s="8">
        <f t="shared" si="0"/>
        <v>245.99999999999997</v>
      </c>
      <c r="M17" s="5" t="s">
        <v>34</v>
      </c>
    </row>
    <row r="18" spans="1:13" x14ac:dyDescent="0.25">
      <c r="A18" s="5">
        <v>8</v>
      </c>
      <c r="B18" s="5" t="s">
        <v>67</v>
      </c>
      <c r="C18" s="5" t="s">
        <v>68</v>
      </c>
      <c r="D18" s="5" t="s">
        <v>37</v>
      </c>
      <c r="E18" s="6" t="s">
        <v>69</v>
      </c>
      <c r="F18" s="5" t="s">
        <v>70</v>
      </c>
      <c r="G18" s="5" t="s">
        <v>70</v>
      </c>
      <c r="H18" s="5" t="s">
        <v>33</v>
      </c>
      <c r="I18" s="7">
        <v>600</v>
      </c>
      <c r="J18" s="7">
        <v>20</v>
      </c>
      <c r="K18" s="8">
        <v>0.82</v>
      </c>
      <c r="L18" s="8">
        <f t="shared" si="0"/>
        <v>491.99999999999994</v>
      </c>
      <c r="M18" s="5" t="s">
        <v>34</v>
      </c>
    </row>
    <row r="19" spans="1:13" x14ac:dyDescent="0.25">
      <c r="A19" s="5">
        <v>9</v>
      </c>
      <c r="B19" s="5" t="s">
        <v>71</v>
      </c>
      <c r="C19" s="5" t="s">
        <v>72</v>
      </c>
      <c r="D19" s="5" t="s">
        <v>37</v>
      </c>
      <c r="E19" s="6" t="s">
        <v>73</v>
      </c>
      <c r="F19" s="5" t="s">
        <v>74</v>
      </c>
      <c r="G19" s="5" t="s">
        <v>74</v>
      </c>
      <c r="H19" s="5" t="s">
        <v>33</v>
      </c>
      <c r="I19" s="7">
        <v>270</v>
      </c>
      <c r="J19" s="7">
        <v>9</v>
      </c>
      <c r="K19" s="8">
        <v>0.82</v>
      </c>
      <c r="L19" s="8">
        <f t="shared" si="0"/>
        <v>221.39999999999998</v>
      </c>
      <c r="M19" s="5" t="s">
        <v>34</v>
      </c>
    </row>
    <row r="20" spans="1:13" x14ac:dyDescent="0.25">
      <c r="A20" s="5">
        <v>10</v>
      </c>
      <c r="B20" s="5" t="s">
        <v>75</v>
      </c>
      <c r="C20" s="5" t="s">
        <v>76</v>
      </c>
      <c r="D20" s="5" t="s">
        <v>37</v>
      </c>
      <c r="E20" s="6" t="s">
        <v>77</v>
      </c>
      <c r="F20" s="5" t="s">
        <v>78</v>
      </c>
      <c r="G20" s="5" t="s">
        <v>78</v>
      </c>
      <c r="H20" s="5" t="s">
        <v>33</v>
      </c>
      <c r="I20" s="7">
        <v>600</v>
      </c>
      <c r="J20" s="7">
        <v>20</v>
      </c>
      <c r="K20" s="8">
        <v>0.82</v>
      </c>
      <c r="L20" s="8">
        <f t="shared" si="0"/>
        <v>491.99999999999994</v>
      </c>
      <c r="M20" s="5" t="s">
        <v>34</v>
      </c>
    </row>
    <row r="21" spans="1:13" x14ac:dyDescent="0.25">
      <c r="A21" s="5">
        <v>11</v>
      </c>
      <c r="B21" s="5" t="s">
        <v>79</v>
      </c>
      <c r="C21" s="5" t="s">
        <v>80</v>
      </c>
      <c r="D21" s="5" t="s">
        <v>37</v>
      </c>
      <c r="E21" s="6" t="s">
        <v>81</v>
      </c>
      <c r="F21" s="5" t="s">
        <v>82</v>
      </c>
      <c r="G21" s="5" t="s">
        <v>82</v>
      </c>
      <c r="H21" s="5" t="s">
        <v>33</v>
      </c>
      <c r="I21" s="7">
        <v>270</v>
      </c>
      <c r="J21" s="7">
        <v>9</v>
      </c>
      <c r="K21" s="8">
        <v>0.82</v>
      </c>
      <c r="L21" s="8">
        <f t="shared" si="0"/>
        <v>221.39999999999998</v>
      </c>
      <c r="M21" s="5" t="s">
        <v>34</v>
      </c>
    </row>
    <row r="22" spans="1:13" x14ac:dyDescent="0.25">
      <c r="A22" s="5">
        <v>12</v>
      </c>
      <c r="B22" s="5" t="s">
        <v>83</v>
      </c>
      <c r="C22" s="5" t="s">
        <v>84</v>
      </c>
      <c r="D22" s="5" t="s">
        <v>37</v>
      </c>
      <c r="E22" s="6" t="s">
        <v>85</v>
      </c>
      <c r="F22" s="5" t="s">
        <v>86</v>
      </c>
      <c r="G22" s="5" t="s">
        <v>86</v>
      </c>
      <c r="H22" s="5" t="s">
        <v>33</v>
      </c>
      <c r="I22" s="7">
        <v>270</v>
      </c>
      <c r="J22" s="7">
        <v>9</v>
      </c>
      <c r="K22" s="8">
        <v>0.82</v>
      </c>
      <c r="L22" s="8">
        <f t="shared" si="0"/>
        <v>221.39999999999998</v>
      </c>
      <c r="M22" s="5" t="s">
        <v>34</v>
      </c>
    </row>
    <row r="23" spans="1:13" x14ac:dyDescent="0.25">
      <c r="A23" s="5">
        <v>13</v>
      </c>
      <c r="B23" s="5" t="s">
        <v>87</v>
      </c>
      <c r="C23" s="5" t="s">
        <v>88</v>
      </c>
      <c r="D23" s="5" t="s">
        <v>37</v>
      </c>
      <c r="E23" s="6" t="s">
        <v>89</v>
      </c>
      <c r="F23" s="5" t="s">
        <v>90</v>
      </c>
      <c r="G23" s="5" t="s">
        <v>90</v>
      </c>
      <c r="H23" s="5" t="s">
        <v>33</v>
      </c>
      <c r="I23" s="7">
        <v>600</v>
      </c>
      <c r="J23" s="7">
        <v>20</v>
      </c>
      <c r="K23" s="8">
        <v>0.82</v>
      </c>
      <c r="L23" s="8">
        <f t="shared" si="0"/>
        <v>491.99999999999994</v>
      </c>
      <c r="M23" s="5" t="s">
        <v>34</v>
      </c>
    </row>
    <row r="24" spans="1:13" x14ac:dyDescent="0.25">
      <c r="A24" s="5">
        <v>14</v>
      </c>
      <c r="B24" s="5" t="s">
        <v>91</v>
      </c>
      <c r="C24" s="5" t="s">
        <v>92</v>
      </c>
      <c r="D24" s="5" t="s">
        <v>37</v>
      </c>
      <c r="E24" s="6" t="s">
        <v>93</v>
      </c>
      <c r="F24" s="5" t="s">
        <v>94</v>
      </c>
      <c r="G24" s="5" t="s">
        <v>94</v>
      </c>
      <c r="H24" s="5" t="s">
        <v>33</v>
      </c>
      <c r="I24" s="7">
        <v>600</v>
      </c>
      <c r="J24" s="7">
        <v>20</v>
      </c>
      <c r="K24" s="8">
        <v>0.82</v>
      </c>
      <c r="L24" s="8">
        <f t="shared" si="0"/>
        <v>491.99999999999994</v>
      </c>
      <c r="M24" s="5" t="s">
        <v>34</v>
      </c>
    </row>
    <row r="25" spans="1:13" x14ac:dyDescent="0.25">
      <c r="A25" s="5">
        <v>15</v>
      </c>
      <c r="B25" s="5" t="s">
        <v>95</v>
      </c>
      <c r="C25" s="5" t="s">
        <v>96</v>
      </c>
      <c r="D25" s="5" t="s">
        <v>37</v>
      </c>
      <c r="E25" s="6" t="s">
        <v>97</v>
      </c>
      <c r="F25" s="5" t="s">
        <v>98</v>
      </c>
      <c r="G25" s="5" t="s">
        <v>98</v>
      </c>
      <c r="H25" s="5" t="s">
        <v>33</v>
      </c>
      <c r="I25" s="7">
        <v>270</v>
      </c>
      <c r="J25" s="7">
        <v>9</v>
      </c>
      <c r="K25" s="8">
        <v>0.82</v>
      </c>
      <c r="L25" s="8">
        <f t="shared" si="0"/>
        <v>221.39999999999998</v>
      </c>
      <c r="M25" s="5" t="s">
        <v>34</v>
      </c>
    </row>
    <row r="26" spans="1:13" x14ac:dyDescent="0.25">
      <c r="A26" s="5">
        <v>16</v>
      </c>
      <c r="B26" s="5" t="s">
        <v>99</v>
      </c>
      <c r="C26" s="5" t="s">
        <v>100</v>
      </c>
      <c r="D26" s="5" t="s">
        <v>37</v>
      </c>
      <c r="E26" s="6" t="s">
        <v>101</v>
      </c>
      <c r="F26" s="5" t="s">
        <v>102</v>
      </c>
      <c r="G26" s="5" t="s">
        <v>102</v>
      </c>
      <c r="H26" s="5" t="s">
        <v>33</v>
      </c>
      <c r="I26" s="7">
        <v>600</v>
      </c>
      <c r="J26" s="7">
        <v>20</v>
      </c>
      <c r="K26" s="8">
        <v>0.82</v>
      </c>
      <c r="L26" s="8">
        <f t="shared" si="0"/>
        <v>491.99999999999994</v>
      </c>
      <c r="M26" s="5" t="s">
        <v>34</v>
      </c>
    </row>
    <row r="27" spans="1:13" x14ac:dyDescent="0.25">
      <c r="A27" s="5">
        <v>17</v>
      </c>
      <c r="B27" s="5" t="s">
        <v>103</v>
      </c>
      <c r="C27" s="5" t="s">
        <v>104</v>
      </c>
      <c r="D27" s="5" t="s">
        <v>37</v>
      </c>
      <c r="E27" s="6" t="s">
        <v>105</v>
      </c>
      <c r="F27" s="5" t="s">
        <v>106</v>
      </c>
      <c r="G27" s="5" t="s">
        <v>106</v>
      </c>
      <c r="H27" s="5" t="s">
        <v>33</v>
      </c>
      <c r="I27" s="7">
        <v>270</v>
      </c>
      <c r="J27" s="7">
        <v>9</v>
      </c>
      <c r="K27" s="8">
        <v>0.82</v>
      </c>
      <c r="L27" s="8">
        <f t="shared" si="0"/>
        <v>221.39999999999998</v>
      </c>
      <c r="M27" s="5" t="s">
        <v>34</v>
      </c>
    </row>
    <row r="28" spans="1:13" x14ac:dyDescent="0.25">
      <c r="A28" s="5">
        <v>18</v>
      </c>
      <c r="B28" s="5" t="s">
        <v>107</v>
      </c>
      <c r="C28" s="5" t="s">
        <v>108</v>
      </c>
      <c r="D28" s="5" t="s">
        <v>37</v>
      </c>
      <c r="E28" s="6" t="s">
        <v>109</v>
      </c>
      <c r="F28" s="5" t="s">
        <v>110</v>
      </c>
      <c r="G28" s="5" t="s">
        <v>110</v>
      </c>
      <c r="H28" s="5" t="s">
        <v>33</v>
      </c>
      <c r="I28" s="7">
        <v>600</v>
      </c>
      <c r="J28" s="7">
        <v>20</v>
      </c>
      <c r="K28" s="8">
        <v>0.82</v>
      </c>
      <c r="L28" s="8">
        <f t="shared" si="0"/>
        <v>491.99999999999994</v>
      </c>
      <c r="M28" s="5" t="s">
        <v>34</v>
      </c>
    </row>
    <row r="29" spans="1:13" x14ac:dyDescent="0.25">
      <c r="A29" s="5">
        <v>19</v>
      </c>
      <c r="B29" s="5" t="s">
        <v>111</v>
      </c>
      <c r="C29" s="5" t="s">
        <v>112</v>
      </c>
      <c r="D29" s="5" t="s">
        <v>37</v>
      </c>
      <c r="E29" s="6" t="s">
        <v>113</v>
      </c>
      <c r="F29" s="5" t="s">
        <v>114</v>
      </c>
      <c r="G29" s="5" t="s">
        <v>114</v>
      </c>
      <c r="H29" s="5" t="s">
        <v>33</v>
      </c>
      <c r="I29" s="7">
        <v>270</v>
      </c>
      <c r="J29" s="7">
        <v>9</v>
      </c>
      <c r="K29" s="8">
        <v>0.82</v>
      </c>
      <c r="L29" s="8">
        <f t="shared" si="0"/>
        <v>221.39999999999998</v>
      </c>
      <c r="M29" s="5" t="s">
        <v>34</v>
      </c>
    </row>
    <row r="30" spans="1:13" x14ac:dyDescent="0.25">
      <c r="A30" s="5">
        <v>20</v>
      </c>
      <c r="B30" s="5" t="s">
        <v>115</v>
      </c>
      <c r="C30" s="5" t="s">
        <v>116</v>
      </c>
      <c r="D30" s="5" t="s">
        <v>37</v>
      </c>
      <c r="E30" s="6" t="s">
        <v>117</v>
      </c>
      <c r="F30" s="5" t="s">
        <v>118</v>
      </c>
      <c r="G30" s="5" t="s">
        <v>118</v>
      </c>
      <c r="H30" s="5" t="s">
        <v>33</v>
      </c>
      <c r="I30" s="7">
        <v>600</v>
      </c>
      <c r="J30" s="7">
        <v>20</v>
      </c>
      <c r="K30" s="8">
        <v>0.82</v>
      </c>
      <c r="L30" s="8">
        <f t="shared" si="0"/>
        <v>491.99999999999994</v>
      </c>
      <c r="M30" s="5" t="s">
        <v>34</v>
      </c>
    </row>
    <row r="31" spans="1:13" x14ac:dyDescent="0.25">
      <c r="A31" s="5">
        <v>21</v>
      </c>
      <c r="B31" s="5" t="s">
        <v>119</v>
      </c>
      <c r="C31" s="5" t="s">
        <v>120</v>
      </c>
      <c r="D31" s="5" t="s">
        <v>37</v>
      </c>
      <c r="E31" s="6" t="s">
        <v>121</v>
      </c>
      <c r="F31" s="5" t="s">
        <v>122</v>
      </c>
      <c r="G31" s="5" t="s">
        <v>122</v>
      </c>
      <c r="H31" s="5" t="s">
        <v>33</v>
      </c>
      <c r="I31" s="7">
        <v>270</v>
      </c>
      <c r="J31" s="7">
        <v>9</v>
      </c>
      <c r="K31" s="8">
        <v>0.82</v>
      </c>
      <c r="L31" s="8">
        <f t="shared" si="0"/>
        <v>221.39999999999998</v>
      </c>
      <c r="M31" s="5" t="s">
        <v>34</v>
      </c>
    </row>
    <row r="32" spans="1:13" x14ac:dyDescent="0.25">
      <c r="A32" s="5">
        <v>22</v>
      </c>
      <c r="B32" s="5" t="s">
        <v>123</v>
      </c>
      <c r="C32" s="5" t="s">
        <v>124</v>
      </c>
      <c r="D32" s="5" t="s">
        <v>37</v>
      </c>
      <c r="E32" s="6" t="s">
        <v>125</v>
      </c>
      <c r="F32" s="5" t="s">
        <v>126</v>
      </c>
      <c r="G32" s="5" t="s">
        <v>126</v>
      </c>
      <c r="H32" s="5" t="s">
        <v>33</v>
      </c>
      <c r="I32" s="7">
        <v>270</v>
      </c>
      <c r="J32" s="7">
        <v>9</v>
      </c>
      <c r="K32" s="8">
        <v>0.82</v>
      </c>
      <c r="L32" s="8">
        <f t="shared" si="0"/>
        <v>221.39999999999998</v>
      </c>
      <c r="M32" s="5" t="s">
        <v>34</v>
      </c>
    </row>
    <row r="33" spans="1:13" x14ac:dyDescent="0.25">
      <c r="A33" s="5">
        <v>23</v>
      </c>
      <c r="B33" s="5" t="s">
        <v>127</v>
      </c>
      <c r="C33" s="5" t="s">
        <v>128</v>
      </c>
      <c r="D33" s="5" t="s">
        <v>129</v>
      </c>
      <c r="E33" s="6" t="s">
        <v>130</v>
      </c>
      <c r="F33" s="5" t="s">
        <v>131</v>
      </c>
      <c r="G33" s="5"/>
      <c r="H33" s="5" t="s">
        <v>33</v>
      </c>
      <c r="I33" s="7">
        <v>210</v>
      </c>
      <c r="J33" s="7">
        <v>7</v>
      </c>
      <c r="K33" s="8">
        <v>0.82</v>
      </c>
      <c r="L33" s="8">
        <f t="shared" si="0"/>
        <v>172.2</v>
      </c>
      <c r="M33" s="5" t="s">
        <v>34</v>
      </c>
    </row>
    <row r="34" spans="1:13" x14ac:dyDescent="0.25">
      <c r="A34" s="5">
        <v>24</v>
      </c>
      <c r="B34" s="5" t="s">
        <v>132</v>
      </c>
      <c r="C34" s="5" t="s">
        <v>133</v>
      </c>
      <c r="D34" s="5" t="s">
        <v>30</v>
      </c>
      <c r="E34" s="6" t="s">
        <v>134</v>
      </c>
      <c r="F34" s="5" t="s">
        <v>135</v>
      </c>
      <c r="G34" s="5" t="s">
        <v>135</v>
      </c>
      <c r="H34" s="5" t="s">
        <v>33</v>
      </c>
      <c r="I34" s="7">
        <v>450</v>
      </c>
      <c r="J34" s="7">
        <v>15</v>
      </c>
      <c r="K34" s="8">
        <v>1.05</v>
      </c>
      <c r="L34" s="8">
        <f t="shared" si="0"/>
        <v>472.5</v>
      </c>
      <c r="M34" s="5" t="s">
        <v>34</v>
      </c>
    </row>
    <row r="35" spans="1:13" x14ac:dyDescent="0.25">
      <c r="A35" s="5">
        <v>25</v>
      </c>
      <c r="B35" s="5" t="s">
        <v>136</v>
      </c>
      <c r="C35" s="5" t="s">
        <v>137</v>
      </c>
      <c r="D35" s="5" t="s">
        <v>30</v>
      </c>
      <c r="E35" s="6" t="s">
        <v>138</v>
      </c>
      <c r="F35" s="5" t="s">
        <v>139</v>
      </c>
      <c r="G35" s="5" t="s">
        <v>139</v>
      </c>
      <c r="H35" s="5" t="s">
        <v>33</v>
      </c>
      <c r="I35" s="7">
        <v>800</v>
      </c>
      <c r="J35" s="7">
        <v>10</v>
      </c>
      <c r="K35" s="8">
        <v>0.69</v>
      </c>
      <c r="L35" s="8">
        <f t="shared" si="0"/>
        <v>552</v>
      </c>
      <c r="M35" s="5" t="s">
        <v>140</v>
      </c>
    </row>
    <row r="36" spans="1:13" x14ac:dyDescent="0.25">
      <c r="A36" s="5">
        <v>26</v>
      </c>
      <c r="B36" s="5" t="s">
        <v>141</v>
      </c>
      <c r="C36" s="5" t="s">
        <v>142</v>
      </c>
      <c r="D36" s="5" t="s">
        <v>30</v>
      </c>
      <c r="E36" s="6" t="s">
        <v>143</v>
      </c>
      <c r="F36" s="5" t="s">
        <v>144</v>
      </c>
      <c r="G36" s="5" t="s">
        <v>145</v>
      </c>
      <c r="H36" s="5" t="s">
        <v>146</v>
      </c>
      <c r="I36" s="7">
        <v>200</v>
      </c>
      <c r="J36" s="7">
        <v>20</v>
      </c>
      <c r="K36" s="8">
        <v>3.05</v>
      </c>
      <c r="L36" s="8">
        <f t="shared" si="0"/>
        <v>610</v>
      </c>
      <c r="M36" s="5" t="s">
        <v>147</v>
      </c>
    </row>
    <row r="37" spans="1:13" x14ac:dyDescent="0.25">
      <c r="A37" s="5">
        <v>27</v>
      </c>
      <c r="B37" s="5" t="s">
        <v>148</v>
      </c>
      <c r="C37" s="5" t="s">
        <v>149</v>
      </c>
      <c r="D37" s="5" t="s">
        <v>30</v>
      </c>
      <c r="E37" s="6" t="s">
        <v>150</v>
      </c>
      <c r="F37" s="5" t="s">
        <v>151</v>
      </c>
      <c r="G37" s="5" t="s">
        <v>152</v>
      </c>
      <c r="H37" s="5" t="s">
        <v>146</v>
      </c>
      <c r="I37" s="7">
        <v>150</v>
      </c>
      <c r="J37" s="7">
        <v>15</v>
      </c>
      <c r="K37" s="8">
        <v>3.05</v>
      </c>
      <c r="L37" s="8">
        <f t="shared" si="0"/>
        <v>457.5</v>
      </c>
      <c r="M37" s="5" t="s">
        <v>147</v>
      </c>
    </row>
    <row r="38" spans="1:13" x14ac:dyDescent="0.25">
      <c r="A38" s="5">
        <v>28</v>
      </c>
      <c r="B38" s="5" t="s">
        <v>153</v>
      </c>
      <c r="C38" s="5" t="s">
        <v>154</v>
      </c>
      <c r="D38" s="5" t="s">
        <v>30</v>
      </c>
      <c r="E38" s="6" t="s">
        <v>155</v>
      </c>
      <c r="F38" s="5" t="s">
        <v>156</v>
      </c>
      <c r="G38" s="5" t="s">
        <v>157</v>
      </c>
      <c r="H38" s="5" t="s">
        <v>146</v>
      </c>
      <c r="I38" s="7">
        <v>100</v>
      </c>
      <c r="J38" s="7">
        <v>10</v>
      </c>
      <c r="K38" s="8">
        <v>3.05</v>
      </c>
      <c r="L38" s="8">
        <f t="shared" si="0"/>
        <v>305</v>
      </c>
      <c r="M38" s="5" t="s">
        <v>147</v>
      </c>
    </row>
    <row r="39" spans="1:13" x14ac:dyDescent="0.25">
      <c r="A39" s="5">
        <v>29</v>
      </c>
      <c r="B39" s="5" t="s">
        <v>158</v>
      </c>
      <c r="C39" s="5" t="s">
        <v>159</v>
      </c>
      <c r="D39" s="5" t="s">
        <v>30</v>
      </c>
      <c r="E39" s="6" t="s">
        <v>160</v>
      </c>
      <c r="F39" s="5" t="s">
        <v>161</v>
      </c>
      <c r="G39" s="5" t="s">
        <v>162</v>
      </c>
      <c r="H39" s="5" t="s">
        <v>146</v>
      </c>
      <c r="I39" s="7">
        <v>100</v>
      </c>
      <c r="J39" s="7">
        <v>10</v>
      </c>
      <c r="K39" s="8">
        <v>3.05</v>
      </c>
      <c r="L39" s="8">
        <f t="shared" si="0"/>
        <v>305</v>
      </c>
      <c r="M39" s="5" t="s">
        <v>147</v>
      </c>
    </row>
    <row r="40" spans="1:13" x14ac:dyDescent="0.25">
      <c r="A40" s="5">
        <v>30</v>
      </c>
      <c r="B40" s="5" t="s">
        <v>163</v>
      </c>
      <c r="C40" s="5" t="s">
        <v>164</v>
      </c>
      <c r="D40" s="5" t="s">
        <v>30</v>
      </c>
      <c r="E40" s="6" t="s">
        <v>165</v>
      </c>
      <c r="F40" s="5" t="s">
        <v>166</v>
      </c>
      <c r="G40" s="5" t="s">
        <v>167</v>
      </c>
      <c r="H40" s="5" t="s">
        <v>146</v>
      </c>
      <c r="I40" s="7">
        <v>100</v>
      </c>
      <c r="J40" s="7">
        <v>10</v>
      </c>
      <c r="K40" s="8">
        <v>3.05</v>
      </c>
      <c r="L40" s="8">
        <f t="shared" si="0"/>
        <v>305</v>
      </c>
      <c r="M40" s="5" t="s">
        <v>147</v>
      </c>
    </row>
    <row r="41" spans="1:13" x14ac:dyDescent="0.25">
      <c r="A41" s="5">
        <v>31</v>
      </c>
      <c r="B41" s="5" t="s">
        <v>168</v>
      </c>
      <c r="C41" s="5" t="s">
        <v>169</v>
      </c>
      <c r="D41" s="5" t="s">
        <v>30</v>
      </c>
      <c r="E41" s="6" t="s">
        <v>170</v>
      </c>
      <c r="F41" s="5" t="s">
        <v>171</v>
      </c>
      <c r="G41" s="5" t="s">
        <v>172</v>
      </c>
      <c r="H41" s="5" t="s">
        <v>146</v>
      </c>
      <c r="I41" s="7">
        <v>100</v>
      </c>
      <c r="J41" s="7">
        <v>10</v>
      </c>
      <c r="K41" s="8">
        <v>3.05</v>
      </c>
      <c r="L41" s="8">
        <f t="shared" si="0"/>
        <v>305</v>
      </c>
      <c r="M41" s="5" t="s">
        <v>147</v>
      </c>
    </row>
    <row r="42" spans="1:13" x14ac:dyDescent="0.25">
      <c r="A42" s="5">
        <v>32</v>
      </c>
      <c r="B42" s="5" t="s">
        <v>173</v>
      </c>
      <c r="C42" s="5" t="s">
        <v>174</v>
      </c>
      <c r="D42" s="5" t="s">
        <v>30</v>
      </c>
      <c r="E42" s="6" t="s">
        <v>175</v>
      </c>
      <c r="F42" s="5" t="s">
        <v>176</v>
      </c>
      <c r="G42" s="5" t="s">
        <v>177</v>
      </c>
      <c r="H42" s="5" t="s">
        <v>146</v>
      </c>
      <c r="I42" s="7">
        <v>300</v>
      </c>
      <c r="J42" s="7">
        <v>30</v>
      </c>
      <c r="K42" s="8">
        <v>3.05</v>
      </c>
      <c r="L42" s="8">
        <f t="shared" si="0"/>
        <v>915</v>
      </c>
      <c r="M42" s="5" t="s">
        <v>147</v>
      </c>
    </row>
    <row r="43" spans="1:13" x14ac:dyDescent="0.25">
      <c r="A43" s="5">
        <v>33</v>
      </c>
      <c r="B43" s="5" t="s">
        <v>178</v>
      </c>
      <c r="C43" s="5" t="s">
        <v>179</v>
      </c>
      <c r="D43" s="5" t="s">
        <v>30</v>
      </c>
      <c r="E43" s="6" t="s">
        <v>180</v>
      </c>
      <c r="F43" s="5" t="s">
        <v>181</v>
      </c>
      <c r="G43" s="5" t="s">
        <v>182</v>
      </c>
      <c r="H43" s="5" t="s">
        <v>146</v>
      </c>
      <c r="I43" s="7">
        <v>300</v>
      </c>
      <c r="J43" s="7">
        <v>30</v>
      </c>
      <c r="K43" s="8">
        <v>3.05</v>
      </c>
      <c r="L43" s="8">
        <f t="shared" ref="L43:L74" si="1">I43*K43</f>
        <v>915</v>
      </c>
      <c r="M43" s="5" t="s">
        <v>147</v>
      </c>
    </row>
    <row r="44" spans="1:13" x14ac:dyDescent="0.25">
      <c r="A44" s="5">
        <v>34</v>
      </c>
      <c r="B44" s="5" t="s">
        <v>183</v>
      </c>
      <c r="C44" s="5" t="s">
        <v>184</v>
      </c>
      <c r="D44" s="5" t="s">
        <v>30</v>
      </c>
      <c r="E44" s="6" t="s">
        <v>185</v>
      </c>
      <c r="F44" s="5" t="s">
        <v>186</v>
      </c>
      <c r="G44" s="5" t="s">
        <v>187</v>
      </c>
      <c r="H44" s="5" t="s">
        <v>146</v>
      </c>
      <c r="I44" s="7">
        <v>100</v>
      </c>
      <c r="J44" s="7">
        <v>10</v>
      </c>
      <c r="K44" s="8">
        <v>3.05</v>
      </c>
      <c r="L44" s="8">
        <f t="shared" si="1"/>
        <v>305</v>
      </c>
      <c r="M44" s="5" t="s">
        <v>147</v>
      </c>
    </row>
    <row r="45" spans="1:13" x14ac:dyDescent="0.25">
      <c r="A45" s="5">
        <v>35</v>
      </c>
      <c r="B45" s="5" t="s">
        <v>188</v>
      </c>
      <c r="C45" s="5" t="s">
        <v>189</v>
      </c>
      <c r="D45" s="5" t="s">
        <v>30</v>
      </c>
      <c r="E45" s="6" t="s">
        <v>190</v>
      </c>
      <c r="F45" s="5" t="s">
        <v>191</v>
      </c>
      <c r="G45" s="5" t="s">
        <v>192</v>
      </c>
      <c r="H45" s="5" t="s">
        <v>146</v>
      </c>
      <c r="I45" s="7">
        <v>100</v>
      </c>
      <c r="J45" s="7">
        <v>10</v>
      </c>
      <c r="K45" s="8">
        <v>3.05</v>
      </c>
      <c r="L45" s="8">
        <f t="shared" si="1"/>
        <v>305</v>
      </c>
      <c r="M45" s="5" t="s">
        <v>147</v>
      </c>
    </row>
    <row r="46" spans="1:13" x14ac:dyDescent="0.25">
      <c r="A46" s="5">
        <v>36</v>
      </c>
      <c r="B46" s="5" t="s">
        <v>193</v>
      </c>
      <c r="C46" s="5" t="s">
        <v>194</v>
      </c>
      <c r="D46" s="5" t="s">
        <v>30</v>
      </c>
      <c r="E46" s="6" t="s">
        <v>195</v>
      </c>
      <c r="F46" s="5" t="s">
        <v>196</v>
      </c>
      <c r="G46" s="5" t="s">
        <v>197</v>
      </c>
      <c r="H46" s="5" t="s">
        <v>146</v>
      </c>
      <c r="I46" s="7">
        <v>100</v>
      </c>
      <c r="J46" s="7">
        <v>10</v>
      </c>
      <c r="K46" s="8">
        <v>3.05</v>
      </c>
      <c r="L46" s="8">
        <f t="shared" si="1"/>
        <v>305</v>
      </c>
      <c r="M46" s="5" t="s">
        <v>147</v>
      </c>
    </row>
    <row r="47" spans="1:13" x14ac:dyDescent="0.25">
      <c r="A47" s="5">
        <v>37</v>
      </c>
      <c r="B47" s="5" t="s">
        <v>198</v>
      </c>
      <c r="C47" s="5" t="s">
        <v>199</v>
      </c>
      <c r="D47" s="5" t="s">
        <v>30</v>
      </c>
      <c r="E47" s="6" t="s">
        <v>143</v>
      </c>
      <c r="F47" s="5" t="s">
        <v>200</v>
      </c>
      <c r="G47" s="5" t="s">
        <v>201</v>
      </c>
      <c r="H47" s="5" t="s">
        <v>146</v>
      </c>
      <c r="I47" s="7">
        <v>80</v>
      </c>
      <c r="J47" s="7">
        <v>8</v>
      </c>
      <c r="K47" s="8">
        <v>3.05</v>
      </c>
      <c r="L47" s="8">
        <f t="shared" si="1"/>
        <v>244</v>
      </c>
      <c r="M47" s="5" t="s">
        <v>147</v>
      </c>
    </row>
    <row r="48" spans="1:13" x14ac:dyDescent="0.25">
      <c r="A48" s="5">
        <v>38</v>
      </c>
      <c r="B48" s="5" t="s">
        <v>202</v>
      </c>
      <c r="C48" s="5" t="s">
        <v>203</v>
      </c>
      <c r="D48" s="5" t="s">
        <v>30</v>
      </c>
      <c r="E48" s="6" t="s">
        <v>150</v>
      </c>
      <c r="F48" s="5" t="s">
        <v>204</v>
      </c>
      <c r="G48" s="5" t="s">
        <v>205</v>
      </c>
      <c r="H48" s="5" t="s">
        <v>146</v>
      </c>
      <c r="I48" s="7">
        <v>80</v>
      </c>
      <c r="J48" s="7">
        <v>8</v>
      </c>
      <c r="K48" s="8">
        <v>3.05</v>
      </c>
      <c r="L48" s="8">
        <f t="shared" si="1"/>
        <v>244</v>
      </c>
      <c r="M48" s="5" t="s">
        <v>147</v>
      </c>
    </row>
    <row r="49" spans="1:13" x14ac:dyDescent="0.25">
      <c r="A49" s="5">
        <v>39</v>
      </c>
      <c r="B49" s="5" t="s">
        <v>206</v>
      </c>
      <c r="C49" s="5" t="s">
        <v>207</v>
      </c>
      <c r="D49" s="5" t="s">
        <v>30</v>
      </c>
      <c r="E49" s="6" t="s">
        <v>150</v>
      </c>
      <c r="F49" s="5" t="s">
        <v>208</v>
      </c>
      <c r="G49" s="5" t="s">
        <v>209</v>
      </c>
      <c r="H49" s="5" t="s">
        <v>146</v>
      </c>
      <c r="I49" s="7">
        <v>150</v>
      </c>
      <c r="J49" s="7">
        <v>15</v>
      </c>
      <c r="K49" s="8">
        <v>3.05</v>
      </c>
      <c r="L49" s="8">
        <f t="shared" si="1"/>
        <v>457.5</v>
      </c>
      <c r="M49" s="5" t="s">
        <v>147</v>
      </c>
    </row>
    <row r="50" spans="1:13" x14ac:dyDescent="0.25">
      <c r="A50" s="5">
        <v>40</v>
      </c>
      <c r="B50" s="5" t="s">
        <v>210</v>
      </c>
      <c r="C50" s="5" t="s">
        <v>211</v>
      </c>
      <c r="D50" s="5" t="s">
        <v>30</v>
      </c>
      <c r="E50" s="6" t="s">
        <v>175</v>
      </c>
      <c r="F50" s="5" t="s">
        <v>212</v>
      </c>
      <c r="G50" s="5" t="s">
        <v>213</v>
      </c>
      <c r="H50" s="5" t="s">
        <v>146</v>
      </c>
      <c r="I50" s="7">
        <v>80</v>
      </c>
      <c r="J50" s="7">
        <v>8</v>
      </c>
      <c r="K50" s="8">
        <v>3.05</v>
      </c>
      <c r="L50" s="8">
        <f t="shared" si="1"/>
        <v>244</v>
      </c>
      <c r="M50" s="5" t="s">
        <v>147</v>
      </c>
    </row>
    <row r="51" spans="1:13" x14ac:dyDescent="0.25">
      <c r="A51" s="5">
        <v>41</v>
      </c>
      <c r="B51" s="5" t="s">
        <v>214</v>
      </c>
      <c r="C51" s="5" t="s">
        <v>215</v>
      </c>
      <c r="D51" s="5" t="s">
        <v>30</v>
      </c>
      <c r="E51" s="6" t="s">
        <v>150</v>
      </c>
      <c r="F51" s="5" t="s">
        <v>216</v>
      </c>
      <c r="G51" s="5" t="s">
        <v>217</v>
      </c>
      <c r="H51" s="5" t="s">
        <v>146</v>
      </c>
      <c r="I51" s="7">
        <v>150</v>
      </c>
      <c r="J51" s="7">
        <v>15</v>
      </c>
      <c r="K51" s="8">
        <v>3.05</v>
      </c>
      <c r="L51" s="8">
        <f t="shared" si="1"/>
        <v>457.5</v>
      </c>
      <c r="M51" s="5" t="s">
        <v>147</v>
      </c>
    </row>
    <row r="52" spans="1:13" x14ac:dyDescent="0.25">
      <c r="A52" s="5">
        <v>42</v>
      </c>
      <c r="B52" s="5" t="s">
        <v>218</v>
      </c>
      <c r="C52" s="5" t="s">
        <v>219</v>
      </c>
      <c r="D52" s="5" t="s">
        <v>220</v>
      </c>
      <c r="E52" s="6"/>
      <c r="F52" s="5" t="s">
        <v>221</v>
      </c>
      <c r="G52" s="5" t="s">
        <v>222</v>
      </c>
      <c r="H52" s="5" t="s">
        <v>223</v>
      </c>
      <c r="I52" s="7">
        <v>150</v>
      </c>
      <c r="J52" s="7">
        <v>150</v>
      </c>
      <c r="K52" s="8">
        <v>9.33</v>
      </c>
      <c r="L52" s="8">
        <f t="shared" si="1"/>
        <v>1399.5</v>
      </c>
      <c r="M52" s="5" t="s">
        <v>224</v>
      </c>
    </row>
    <row r="53" spans="1:13" x14ac:dyDescent="0.25">
      <c r="A53" s="5">
        <v>43</v>
      </c>
      <c r="B53" s="5" t="s">
        <v>225</v>
      </c>
      <c r="C53" s="5" t="s">
        <v>226</v>
      </c>
      <c r="D53" s="5" t="s">
        <v>37</v>
      </c>
      <c r="E53" s="6" t="s">
        <v>227</v>
      </c>
      <c r="F53" s="5" t="s">
        <v>228</v>
      </c>
      <c r="G53" s="5" t="s">
        <v>228</v>
      </c>
      <c r="H53" s="5" t="s">
        <v>33</v>
      </c>
      <c r="I53" s="7">
        <v>1800</v>
      </c>
      <c r="J53" s="7">
        <v>30</v>
      </c>
      <c r="K53" s="8">
        <v>1.05</v>
      </c>
      <c r="L53" s="8">
        <f t="shared" si="1"/>
        <v>1890</v>
      </c>
      <c r="M53" s="5" t="s">
        <v>229</v>
      </c>
    </row>
    <row r="54" spans="1:13" x14ac:dyDescent="0.25">
      <c r="A54" s="5">
        <v>44</v>
      </c>
      <c r="B54" s="5" t="s">
        <v>230</v>
      </c>
      <c r="C54" s="5" t="s">
        <v>231</v>
      </c>
      <c r="D54" s="5" t="s">
        <v>37</v>
      </c>
      <c r="E54" s="6" t="s">
        <v>232</v>
      </c>
      <c r="F54" s="5" t="s">
        <v>233</v>
      </c>
      <c r="G54" s="5" t="s">
        <v>233</v>
      </c>
      <c r="H54" s="5" t="s">
        <v>33</v>
      </c>
      <c r="I54" s="7">
        <v>2400</v>
      </c>
      <c r="J54" s="7">
        <v>40</v>
      </c>
      <c r="K54" s="8">
        <v>1.05</v>
      </c>
      <c r="L54" s="8">
        <f t="shared" si="1"/>
        <v>2520</v>
      </c>
      <c r="M54" s="5" t="s">
        <v>229</v>
      </c>
    </row>
    <row r="55" spans="1:13" x14ac:dyDescent="0.25">
      <c r="A55" s="5">
        <v>45</v>
      </c>
      <c r="B55" s="5" t="s">
        <v>234</v>
      </c>
      <c r="C55" s="5" t="s">
        <v>235</v>
      </c>
      <c r="D55" s="5" t="s">
        <v>30</v>
      </c>
      <c r="E55" s="6" t="s">
        <v>236</v>
      </c>
      <c r="F55" s="5" t="s">
        <v>237</v>
      </c>
      <c r="G55" s="5" t="s">
        <v>238</v>
      </c>
      <c r="H55" s="5" t="s">
        <v>33</v>
      </c>
      <c r="I55" s="7">
        <v>800</v>
      </c>
      <c r="J55" s="7">
        <v>10</v>
      </c>
      <c r="K55" s="8">
        <v>0.63</v>
      </c>
      <c r="L55" s="8">
        <f t="shared" si="1"/>
        <v>504</v>
      </c>
      <c r="M55" s="5" t="s">
        <v>140</v>
      </c>
    </row>
    <row r="56" spans="1:13" x14ac:dyDescent="0.25">
      <c r="A56" s="5">
        <v>46</v>
      </c>
      <c r="B56" s="5" t="s">
        <v>239</v>
      </c>
      <c r="C56" s="5" t="s">
        <v>240</v>
      </c>
      <c r="D56" s="5" t="s">
        <v>30</v>
      </c>
      <c r="E56" s="6" t="s">
        <v>241</v>
      </c>
      <c r="F56" s="5" t="s">
        <v>242</v>
      </c>
      <c r="G56" s="5" t="s">
        <v>243</v>
      </c>
      <c r="H56" s="5" t="s">
        <v>33</v>
      </c>
      <c r="I56" s="7">
        <v>1600</v>
      </c>
      <c r="J56" s="7">
        <v>20</v>
      </c>
      <c r="K56" s="8">
        <v>0.63</v>
      </c>
      <c r="L56" s="8">
        <f t="shared" si="1"/>
        <v>1008</v>
      </c>
      <c r="M56" s="5" t="s">
        <v>140</v>
      </c>
    </row>
    <row r="57" spans="1:13" x14ac:dyDescent="0.25">
      <c r="A57" s="5">
        <v>47</v>
      </c>
      <c r="B57" s="5" t="s">
        <v>244</v>
      </c>
      <c r="C57" s="5" t="s">
        <v>245</v>
      </c>
      <c r="D57" s="5" t="s">
        <v>129</v>
      </c>
      <c r="E57" s="6" t="s">
        <v>246</v>
      </c>
      <c r="F57" s="5" t="s">
        <v>247</v>
      </c>
      <c r="G57" s="5"/>
      <c r="H57" s="5" t="s">
        <v>33</v>
      </c>
      <c r="I57" s="7">
        <v>6000</v>
      </c>
      <c r="J57" s="7">
        <v>50</v>
      </c>
      <c r="K57" s="8">
        <v>0.45</v>
      </c>
      <c r="L57" s="8">
        <f t="shared" si="1"/>
        <v>2700</v>
      </c>
      <c r="M57" s="5" t="s">
        <v>34</v>
      </c>
    </row>
    <row r="58" spans="1:13" x14ac:dyDescent="0.25">
      <c r="A58" s="5">
        <v>48</v>
      </c>
      <c r="B58" s="5" t="s">
        <v>248</v>
      </c>
      <c r="C58" s="5" t="s">
        <v>249</v>
      </c>
      <c r="D58" s="5" t="s">
        <v>129</v>
      </c>
      <c r="E58" s="6" t="s">
        <v>250</v>
      </c>
      <c r="F58" s="5" t="s">
        <v>251</v>
      </c>
      <c r="G58" s="5"/>
      <c r="H58" s="5" t="s">
        <v>33</v>
      </c>
      <c r="I58" s="7">
        <v>1800</v>
      </c>
      <c r="J58" s="7">
        <v>30</v>
      </c>
      <c r="K58" s="8">
        <v>0.79</v>
      </c>
      <c r="L58" s="8">
        <f t="shared" si="1"/>
        <v>1422</v>
      </c>
      <c r="M58" s="5" t="s">
        <v>34</v>
      </c>
    </row>
    <row r="59" spans="1:13" x14ac:dyDescent="0.25">
      <c r="A59" s="5">
        <v>49</v>
      </c>
      <c r="B59" s="5" t="s">
        <v>252</v>
      </c>
      <c r="C59" s="5" t="s">
        <v>253</v>
      </c>
      <c r="D59" s="5" t="s">
        <v>129</v>
      </c>
      <c r="E59" s="6" t="s">
        <v>254</v>
      </c>
      <c r="F59" s="5" t="s">
        <v>255</v>
      </c>
      <c r="G59" s="5"/>
      <c r="H59" s="5" t="s">
        <v>33</v>
      </c>
      <c r="I59" s="7">
        <v>1200</v>
      </c>
      <c r="J59" s="7">
        <v>50</v>
      </c>
      <c r="K59" s="8">
        <v>1.69</v>
      </c>
      <c r="L59" s="8">
        <f t="shared" si="1"/>
        <v>2028</v>
      </c>
      <c r="M59" s="5" t="s">
        <v>34</v>
      </c>
    </row>
    <row r="60" spans="1:13" x14ac:dyDescent="0.25">
      <c r="A60" s="5">
        <v>50</v>
      </c>
      <c r="B60" s="5" t="s">
        <v>256</v>
      </c>
      <c r="C60" s="5" t="s">
        <v>257</v>
      </c>
      <c r="D60" s="5" t="s">
        <v>30</v>
      </c>
      <c r="E60" s="6" t="s">
        <v>258</v>
      </c>
      <c r="F60" s="5" t="s">
        <v>259</v>
      </c>
      <c r="G60" s="5" t="s">
        <v>259</v>
      </c>
      <c r="H60" s="5" t="s">
        <v>33</v>
      </c>
      <c r="I60" s="7">
        <v>320</v>
      </c>
      <c r="J60" s="7">
        <v>8</v>
      </c>
      <c r="K60" s="8">
        <v>1.1399999999999999</v>
      </c>
      <c r="L60" s="8">
        <f t="shared" si="1"/>
        <v>364.79999999999995</v>
      </c>
      <c r="M60" s="5" t="s">
        <v>34</v>
      </c>
    </row>
    <row r="61" spans="1:13" x14ac:dyDescent="0.25">
      <c r="A61" s="5">
        <v>51</v>
      </c>
      <c r="B61" s="5" t="s">
        <v>260</v>
      </c>
      <c r="C61" s="5" t="s">
        <v>261</v>
      </c>
      <c r="D61" s="5" t="s">
        <v>37</v>
      </c>
      <c r="E61" s="6" t="s">
        <v>262</v>
      </c>
      <c r="F61" s="5" t="s">
        <v>263</v>
      </c>
      <c r="G61" s="5" t="s">
        <v>264</v>
      </c>
      <c r="H61" s="5" t="s">
        <v>265</v>
      </c>
      <c r="I61" s="7">
        <v>320</v>
      </c>
      <c r="J61" s="7">
        <v>10</v>
      </c>
      <c r="K61" s="8">
        <v>1.45</v>
      </c>
      <c r="L61" s="8">
        <f t="shared" si="1"/>
        <v>464</v>
      </c>
      <c r="M61" s="5" t="s">
        <v>34</v>
      </c>
    </row>
    <row r="62" spans="1:13" x14ac:dyDescent="0.25">
      <c r="A62" s="5">
        <v>52</v>
      </c>
      <c r="B62" s="5" t="s">
        <v>266</v>
      </c>
      <c r="C62" s="5" t="s">
        <v>266</v>
      </c>
      <c r="D62" s="5" t="s">
        <v>267</v>
      </c>
      <c r="E62" s="6" t="s">
        <v>268</v>
      </c>
      <c r="F62" s="5" t="s">
        <v>269</v>
      </c>
      <c r="G62" s="5"/>
      <c r="H62" s="5" t="s">
        <v>22</v>
      </c>
      <c r="I62" s="7">
        <v>2100</v>
      </c>
      <c r="J62" s="7">
        <v>21</v>
      </c>
      <c r="K62" s="8">
        <v>0.65</v>
      </c>
      <c r="L62" s="8">
        <f t="shared" si="1"/>
        <v>1365</v>
      </c>
      <c r="M62" s="5"/>
    </row>
    <row r="63" spans="1:13" x14ac:dyDescent="0.25">
      <c r="A63" s="5">
        <v>53</v>
      </c>
      <c r="B63" s="5" t="s">
        <v>270</v>
      </c>
      <c r="C63" s="5" t="s">
        <v>270</v>
      </c>
      <c r="D63" s="5" t="s">
        <v>267</v>
      </c>
      <c r="E63" s="6" t="s">
        <v>271</v>
      </c>
      <c r="F63" s="5" t="s">
        <v>272</v>
      </c>
      <c r="G63" s="5"/>
      <c r="H63" s="5" t="s">
        <v>22</v>
      </c>
      <c r="I63" s="7">
        <v>2100</v>
      </c>
      <c r="J63" s="7">
        <v>21</v>
      </c>
      <c r="K63" s="8">
        <v>0.45</v>
      </c>
      <c r="L63" s="8">
        <f t="shared" si="1"/>
        <v>945</v>
      </c>
      <c r="M63" s="5" t="s">
        <v>224</v>
      </c>
    </row>
    <row r="64" spans="1:13" x14ac:dyDescent="0.25">
      <c r="A64" s="5">
        <v>54</v>
      </c>
      <c r="B64" s="5" t="s">
        <v>273</v>
      </c>
      <c r="C64" s="5" t="s">
        <v>274</v>
      </c>
      <c r="D64" s="5" t="s">
        <v>37</v>
      </c>
      <c r="E64" s="6" t="s">
        <v>275</v>
      </c>
      <c r="F64" s="5" t="s">
        <v>276</v>
      </c>
      <c r="G64" s="5" t="s">
        <v>277</v>
      </c>
      <c r="H64" s="5" t="s">
        <v>278</v>
      </c>
      <c r="I64" s="7">
        <v>3000</v>
      </c>
      <c r="J64" s="7">
        <v>30</v>
      </c>
      <c r="K64" s="8">
        <v>0.72</v>
      </c>
      <c r="L64" s="8">
        <f t="shared" si="1"/>
        <v>2160</v>
      </c>
      <c r="M64" s="5" t="s">
        <v>279</v>
      </c>
    </row>
    <row r="65" spans="1:13" x14ac:dyDescent="0.25">
      <c r="A65" s="5">
        <v>55</v>
      </c>
      <c r="B65" s="5" t="s">
        <v>280</v>
      </c>
      <c r="C65" s="5" t="s">
        <v>281</v>
      </c>
      <c r="D65" s="5" t="s">
        <v>37</v>
      </c>
      <c r="E65" s="6" t="s">
        <v>282</v>
      </c>
      <c r="F65" s="5" t="s">
        <v>283</v>
      </c>
      <c r="G65" s="5" t="s">
        <v>284</v>
      </c>
      <c r="H65" s="5" t="s">
        <v>278</v>
      </c>
      <c r="I65" s="7">
        <v>3000</v>
      </c>
      <c r="J65" s="7">
        <v>30</v>
      </c>
      <c r="K65" s="8">
        <v>0.72</v>
      </c>
      <c r="L65" s="8">
        <f t="shared" si="1"/>
        <v>2160</v>
      </c>
      <c r="M65" s="5" t="s">
        <v>279</v>
      </c>
    </row>
    <row r="66" spans="1:13" x14ac:dyDescent="0.25">
      <c r="A66" s="5">
        <v>56</v>
      </c>
      <c r="B66" s="5" t="s">
        <v>285</v>
      </c>
      <c r="C66" s="5" t="s">
        <v>286</v>
      </c>
      <c r="D66" s="5" t="s">
        <v>37</v>
      </c>
      <c r="E66" s="6" t="s">
        <v>287</v>
      </c>
      <c r="F66" s="5" t="s">
        <v>288</v>
      </c>
      <c r="G66" s="5" t="s">
        <v>289</v>
      </c>
      <c r="H66" s="5" t="s">
        <v>278</v>
      </c>
      <c r="I66" s="7">
        <v>2500</v>
      </c>
      <c r="J66" s="7">
        <v>25</v>
      </c>
      <c r="K66" s="8">
        <v>0.72</v>
      </c>
      <c r="L66" s="8">
        <f t="shared" si="1"/>
        <v>1800</v>
      </c>
      <c r="M66" s="5" t="s">
        <v>279</v>
      </c>
    </row>
    <row r="67" spans="1:13" x14ac:dyDescent="0.25">
      <c r="A67" s="5">
        <v>57</v>
      </c>
      <c r="B67" s="5" t="s">
        <v>290</v>
      </c>
      <c r="C67" s="5" t="s">
        <v>291</v>
      </c>
      <c r="D67" s="5" t="s">
        <v>37</v>
      </c>
      <c r="E67" s="6" t="s">
        <v>292</v>
      </c>
      <c r="F67" s="5" t="s">
        <v>293</v>
      </c>
      <c r="G67" s="5" t="s">
        <v>294</v>
      </c>
      <c r="H67" s="5" t="s">
        <v>278</v>
      </c>
      <c r="I67" s="7">
        <v>2500</v>
      </c>
      <c r="J67" s="7">
        <v>25</v>
      </c>
      <c r="K67" s="8">
        <v>0.72</v>
      </c>
      <c r="L67" s="8">
        <f t="shared" si="1"/>
        <v>1800</v>
      </c>
      <c r="M67" s="5" t="s">
        <v>279</v>
      </c>
    </row>
    <row r="68" spans="1:13" x14ac:dyDescent="0.25">
      <c r="A68" s="5">
        <v>58</v>
      </c>
      <c r="B68" s="5" t="s">
        <v>295</v>
      </c>
      <c r="C68" s="5" t="s">
        <v>296</v>
      </c>
      <c r="D68" s="5" t="s">
        <v>37</v>
      </c>
      <c r="E68" s="6" t="s">
        <v>297</v>
      </c>
      <c r="F68" s="5" t="s">
        <v>298</v>
      </c>
      <c r="G68" s="5" t="s">
        <v>299</v>
      </c>
      <c r="H68" s="5" t="s">
        <v>278</v>
      </c>
      <c r="I68" s="7">
        <v>3000</v>
      </c>
      <c r="J68" s="7">
        <v>30</v>
      </c>
      <c r="K68" s="8">
        <v>0.72</v>
      </c>
      <c r="L68" s="8">
        <f t="shared" si="1"/>
        <v>2160</v>
      </c>
      <c r="M68" s="5" t="s">
        <v>279</v>
      </c>
    </row>
    <row r="69" spans="1:13" x14ac:dyDescent="0.25">
      <c r="A69" s="5">
        <v>59</v>
      </c>
      <c r="B69" s="5" t="s">
        <v>300</v>
      </c>
      <c r="C69" s="5" t="s">
        <v>301</v>
      </c>
      <c r="D69" s="5" t="s">
        <v>129</v>
      </c>
      <c r="E69" s="6" t="s">
        <v>302</v>
      </c>
      <c r="F69" s="5" t="s">
        <v>303</v>
      </c>
      <c r="G69" s="5" t="s">
        <v>304</v>
      </c>
      <c r="H69" s="5" t="s">
        <v>22</v>
      </c>
      <c r="I69" s="7">
        <v>10</v>
      </c>
      <c r="J69" s="7">
        <v>20</v>
      </c>
      <c r="K69" s="8">
        <v>0.01</v>
      </c>
      <c r="L69" s="8">
        <f t="shared" si="1"/>
        <v>0.1</v>
      </c>
      <c r="M69" s="5" t="s">
        <v>305</v>
      </c>
    </row>
    <row r="70" spans="1:13" x14ac:dyDescent="0.25">
      <c r="A70" s="5">
        <v>60</v>
      </c>
      <c r="B70" s="5" t="s">
        <v>306</v>
      </c>
      <c r="C70" s="5" t="s">
        <v>307</v>
      </c>
      <c r="D70" s="5" t="s">
        <v>129</v>
      </c>
      <c r="E70" s="6"/>
      <c r="F70" s="5" t="s">
        <v>308</v>
      </c>
      <c r="G70" s="5"/>
      <c r="H70" s="5" t="s">
        <v>22</v>
      </c>
      <c r="I70" s="7">
        <v>80</v>
      </c>
      <c r="J70" s="7">
        <v>2</v>
      </c>
      <c r="K70" s="8">
        <v>0.01</v>
      </c>
      <c r="L70" s="8">
        <f t="shared" si="1"/>
        <v>0.8</v>
      </c>
      <c r="M70" s="5" t="s">
        <v>309</v>
      </c>
    </row>
    <row r="71" spans="1:13" x14ac:dyDescent="0.25">
      <c r="H71" s="3" t="s">
        <v>310</v>
      </c>
      <c r="I71" s="9">
        <f>SUM(I11:I70)</f>
        <v>51690</v>
      </c>
      <c r="J71" s="9">
        <f>SUM(J11:J70)</f>
        <v>1292</v>
      </c>
      <c r="L71" s="10">
        <f>SUM(L11:L70)</f>
        <v>48055</v>
      </c>
    </row>
    <row r="73" spans="1:13" x14ac:dyDescent="0.25">
      <c r="A73" t="s">
        <v>311</v>
      </c>
    </row>
    <row r="74" spans="1:13" x14ac:dyDescent="0.25">
      <c r="A74" t="s">
        <v>312</v>
      </c>
    </row>
  </sheetData>
  <autoFilter ref="A10:M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140625" defaultRowHeight="15" x14ac:dyDescent="0.25"/>
  <cols>
    <col min="1" max="1" width="20" customWidth="1"/>
    <col min="2" max="2" width="60" customWidth="1"/>
  </cols>
  <sheetData>
    <row r="1" spans="1:2" x14ac:dyDescent="0.25">
      <c r="A1" s="11" t="s">
        <v>27</v>
      </c>
      <c r="B1" s="11" t="s">
        <v>313</v>
      </c>
    </row>
    <row r="2" spans="1:2" x14ac:dyDescent="0.25">
      <c r="A2" t="s">
        <v>140</v>
      </c>
      <c r="B2" t="s">
        <v>314</v>
      </c>
    </row>
    <row r="3" spans="1:2" x14ac:dyDescent="0.25">
      <c r="A3" t="s">
        <v>147</v>
      </c>
      <c r="B3" t="s">
        <v>315</v>
      </c>
    </row>
    <row r="4" spans="1:2" x14ac:dyDescent="0.25">
      <c r="A4" t="s">
        <v>279</v>
      </c>
      <c r="B4" t="s">
        <v>316</v>
      </c>
    </row>
    <row r="5" spans="1:2" x14ac:dyDescent="0.25">
      <c r="A5" t="s">
        <v>57</v>
      </c>
      <c r="B5" t="s">
        <v>317</v>
      </c>
    </row>
    <row r="6" spans="1:2" x14ac:dyDescent="0.25">
      <c r="A6" t="s">
        <v>309</v>
      </c>
      <c r="B6" t="s">
        <v>318</v>
      </c>
    </row>
    <row r="7" spans="1:2" x14ac:dyDescent="0.25">
      <c r="A7" t="s">
        <v>305</v>
      </c>
      <c r="B7" t="s">
        <v>319</v>
      </c>
    </row>
    <row r="8" spans="1:2" x14ac:dyDescent="0.25">
      <c r="A8" t="s">
        <v>229</v>
      </c>
      <c r="B8" t="s">
        <v>320</v>
      </c>
    </row>
    <row r="9" spans="1:2" x14ac:dyDescent="0.25">
      <c r="A9" t="s">
        <v>41</v>
      </c>
      <c r="B9" t="s">
        <v>321</v>
      </c>
    </row>
    <row r="10" spans="1:2" x14ac:dyDescent="0.25">
      <c r="A10" t="s">
        <v>224</v>
      </c>
      <c r="B10" t="s">
        <v>322</v>
      </c>
    </row>
    <row r="11" spans="1:2" x14ac:dyDescent="0.25">
      <c r="A11" t="s">
        <v>34</v>
      </c>
      <c r="B11" t="s"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9.140625" defaultRowHeight="15" x14ac:dyDescent="0.25"/>
  <cols>
    <col min="1" max="2" width="16" customWidth="1"/>
    <col min="3" max="3" width="60" customWidth="1"/>
    <col min="4" max="5" width="10" customWidth="1"/>
    <col min="6" max="6" width="12" customWidth="1"/>
    <col min="7" max="7" width="22" customWidth="1"/>
  </cols>
  <sheetData>
    <row r="1" spans="1:7" x14ac:dyDescent="0.25">
      <c r="A1" s="11" t="s">
        <v>16</v>
      </c>
      <c r="B1" s="11" t="s">
        <v>19</v>
      </c>
      <c r="C1" s="11" t="s">
        <v>324</v>
      </c>
      <c r="D1" s="11" t="s">
        <v>23</v>
      </c>
      <c r="E1" s="11" t="s">
        <v>25</v>
      </c>
      <c r="F1" s="11" t="s">
        <v>26</v>
      </c>
      <c r="G1" s="11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Proforma</vt:lpstr>
      <vt:lpstr>Aranceles</vt:lpstr>
      <vt:lpstr>Sin código OFICA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Boada</cp:lastModifiedBy>
  <dcterms:created xsi:type="dcterms:W3CDTF">2026-10-13T13:48:25Z</dcterms:created>
  <dcterms:modified xsi:type="dcterms:W3CDTF">2026-10-13T13:49:15Z</dcterms:modified>
</cp:coreProperties>
</file>